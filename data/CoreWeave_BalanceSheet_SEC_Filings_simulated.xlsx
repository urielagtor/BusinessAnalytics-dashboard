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rielaguilartorres-my.sharepoint.com/personal/uriel_urielaguilartorres_com/Documents/Documents/GitHub/BA-V2/data/"/>
    </mc:Choice>
  </mc:AlternateContent>
  <xr:revisionPtr revIDLastSave="1" documentId="11_FB93A41A664A06E887E26C444F15DBF68DC8F2ED" xr6:coauthVersionLast="47" xr6:coauthVersionMax="47" xr10:uidLastSave="{8B714C40-774A-45EB-A0D1-346286FCBF72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tFrdEN+lU8w9d5tFG7N2FCaDsOYziG4DyjlmjZlGM="/>
    </ext>
  </extLst>
</workbook>
</file>

<file path=xl/calcChain.xml><?xml version="1.0" encoding="utf-8"?>
<calcChain xmlns="http://schemas.openxmlformats.org/spreadsheetml/2006/main">
  <c r="K21" i="1" l="1"/>
  <c r="J21" i="1"/>
  <c r="C21" i="1"/>
  <c r="K20" i="1"/>
  <c r="J20" i="1"/>
  <c r="C20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I5" i="1"/>
  <c r="H5" i="1"/>
  <c r="G5" i="1"/>
  <c r="F5" i="1"/>
  <c r="E5" i="1"/>
  <c r="D5" i="1"/>
  <c r="C5" i="1"/>
  <c r="I4" i="1"/>
  <c r="H4" i="1"/>
  <c r="G4" i="1"/>
  <c r="F4" i="1"/>
  <c r="E4" i="1"/>
  <c r="D4" i="1"/>
  <c r="C4" i="1"/>
  <c r="I3" i="1"/>
  <c r="H3" i="1"/>
  <c r="G3" i="1"/>
  <c r="F3" i="1"/>
  <c r="E3" i="1"/>
  <c r="D3" i="1"/>
  <c r="C3" i="1"/>
  <c r="I2" i="1"/>
  <c r="H2" i="1"/>
  <c r="G2" i="1"/>
  <c r="F2" i="1"/>
  <c r="E2" i="1"/>
  <c r="D2" i="1"/>
  <c r="C2" i="1"/>
  <c r="D20" i="1" l="1"/>
  <c r="G20" i="1"/>
  <c r="G21" i="1" s="1"/>
  <c r="E20" i="1"/>
  <c r="E21" i="1" s="1"/>
  <c r="F20" i="1"/>
  <c r="F21" i="1" s="1"/>
  <c r="D21" i="1" l="1"/>
  <c r="H20" i="1"/>
  <c r="H21" i="1" l="1"/>
  <c r="I20" i="1"/>
  <c r="I21" i="1" s="1"/>
</calcChain>
</file>

<file path=xl/sharedStrings.xml><?xml version="1.0" encoding="utf-8"?>
<sst xmlns="http://schemas.openxmlformats.org/spreadsheetml/2006/main" count="51" uniqueCount="35">
  <si>
    <t>Period</t>
  </si>
  <si>
    <t>Filing_Type</t>
  </si>
  <si>
    <t>Revenue_USD</t>
  </si>
  <si>
    <t>Cost_of_Revenue_USD</t>
  </si>
  <si>
    <t>Technology_Infra_USD</t>
  </si>
  <si>
    <t>Sales_Marketing_USD</t>
  </si>
  <si>
    <t>General_Admin_USD</t>
  </si>
  <si>
    <t>Total_Operating_Expenses_USD</t>
  </si>
  <si>
    <t>Operating_Income_USD</t>
  </si>
  <si>
    <t>Total_Assets_USD</t>
  </si>
  <si>
    <t>Total_Liabilities_USD</t>
  </si>
  <si>
    <t>Q1 2022 (Mar 31, 2022)</t>
  </si>
  <si>
    <t>Simulated</t>
  </si>
  <si>
    <t>Q2 2022 (Jun 30, 2022)</t>
  </si>
  <si>
    <t>Q3 2022 (Sep 30, 2022)</t>
  </si>
  <si>
    <t>Q4 2022 (Dec 31, 2022)</t>
  </si>
  <si>
    <t>FY 2022 (Dec 31, 2022)</t>
  </si>
  <si>
    <t>S-1 (audited)</t>
  </si>
  <si>
    <t>Q1 2023 (Mar 31, 2023)</t>
  </si>
  <si>
    <t>Q2 2023 (Jun 30, 2023)</t>
  </si>
  <si>
    <t>Q3 2023 (Sep 30, 2023)</t>
  </si>
  <si>
    <t>Q4 2023 (Dec 31, 2023)</t>
  </si>
  <si>
    <t>FY 2023 (Dec 31, 2023)</t>
  </si>
  <si>
    <t>Q1 2024 (Mar 31, 2024)</t>
  </si>
  <si>
    <t>Q2 2024 (Jun 30, 2024)</t>
  </si>
  <si>
    <t>Q3 2024 (Sep 30, 2024)</t>
  </si>
  <si>
    <t>Q4 2024 (Dec 31, 2024)</t>
  </si>
  <si>
    <t>FY 2024 (Dec 31, 2024)</t>
  </si>
  <si>
    <t>Q1 2025 (Mar 31, 2025)</t>
  </si>
  <si>
    <t>Form 10-Q</t>
  </si>
  <si>
    <t>Q2 2025 (Jun 30, 2025)</t>
  </si>
  <si>
    <t>Q3 2025 (Sep 30, 2025)</t>
  </si>
  <si>
    <t>Q4 2025 (Dec 31, 2025)</t>
  </si>
  <si>
    <t>FY 2025 (Dec 31, 2025)</t>
  </si>
  <si>
    <t>S-1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</si>
</sst>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scheme val="minor"/>
    </font>
    <font>
      <b/>
      <sz val="12"/>
      <color rgb="FFFFFFFF"/>
      <name val="Calibri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4" fontId="4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44" fontId="5" fillId="0" borderId="0" xfId="0" applyNumberFormat="1" applyFont="1"/>
    <xf numFmtId="10" fontId="3" fillId="0" borderId="0" xfId="0" applyNumberFormat="1" applyFont="1"/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21">
  <tableColumns count="11">
    <tableColumn id="1" xr3:uid="{00000000-0010-0000-0000-000001000000}" name="Period"/>
    <tableColumn id="2" xr3:uid="{00000000-0010-0000-0000-000002000000}" name="Filing_Type"/>
    <tableColumn id="3" xr3:uid="{00000000-0010-0000-0000-000003000000}" name="Revenue_USD"/>
    <tableColumn id="4" xr3:uid="{00000000-0010-0000-0000-000004000000}" name="Cost_of_Revenue_USD"/>
    <tableColumn id="5" xr3:uid="{00000000-0010-0000-0000-000005000000}" name="Technology_Infra_USD"/>
    <tableColumn id="6" xr3:uid="{00000000-0010-0000-0000-000006000000}" name="Sales_Marketing_USD"/>
    <tableColumn id="7" xr3:uid="{00000000-0010-0000-0000-000007000000}" name="General_Admin_USD"/>
    <tableColumn id="8" xr3:uid="{00000000-0010-0000-0000-000008000000}" name="Total_Operating_Expenses_USD"/>
    <tableColumn id="9" xr3:uid="{00000000-0010-0000-0000-000009000000}" name="Operating_Income_USD"/>
    <tableColumn id="10" xr3:uid="{00000000-0010-0000-0000-00000A000000}" name="Total_Assets_USD"/>
    <tableColumn id="11" xr3:uid="{00000000-0010-0000-0000-00000B000000}" name="Total_Liabilities_US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B6" sqref="B6"/>
    </sheetView>
  </sheetViews>
  <sheetFormatPr defaultColWidth="14.3984375" defaultRowHeight="15" customHeight="1" x14ac:dyDescent="0.45"/>
  <cols>
    <col min="1" max="1" width="23.3984375" customWidth="1"/>
    <col min="2" max="2" width="20" customWidth="1"/>
    <col min="3" max="3" width="18.265625" customWidth="1"/>
    <col min="4" max="4" width="22.86328125" customWidth="1"/>
    <col min="5" max="5" width="22.59765625" customWidth="1"/>
    <col min="6" max="6" width="22" customWidth="1"/>
    <col min="7" max="7" width="21.1328125" customWidth="1"/>
    <col min="8" max="8" width="31.3984375" customWidth="1"/>
    <col min="9" max="9" width="23.86328125" customWidth="1"/>
    <col min="10" max="10" width="19.3984375" customWidth="1"/>
    <col min="11" max="11" width="21" customWidth="1"/>
    <col min="12" max="26" width="8.73046875" customWidth="1"/>
  </cols>
  <sheetData>
    <row r="1" spans="1:11" ht="14.2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5">
      <c r="A2" s="2" t="s">
        <v>11</v>
      </c>
      <c r="B2" s="3" t="s">
        <v>12</v>
      </c>
      <c r="C2" s="4">
        <f t="shared" ref="C2:I2" si="0">C6*0.23</f>
        <v>3640900</v>
      </c>
      <c r="D2" s="4">
        <f t="shared" si="0"/>
        <v>2788060</v>
      </c>
      <c r="E2" s="4">
        <f t="shared" si="0"/>
        <v>4164380</v>
      </c>
      <c r="F2" s="4">
        <f t="shared" si="0"/>
        <v>570630</v>
      </c>
      <c r="G2" s="4">
        <f t="shared" si="0"/>
        <v>1380230</v>
      </c>
      <c r="H2" s="4">
        <f t="shared" si="0"/>
        <v>8903300</v>
      </c>
      <c r="I2" s="4">
        <f t="shared" si="0"/>
        <v>-5262400</v>
      </c>
      <c r="J2" s="4"/>
      <c r="K2" s="4"/>
    </row>
    <row r="3" spans="1:11" ht="14.25" customHeight="1" x14ac:dyDescent="0.5">
      <c r="A3" s="2" t="s">
        <v>13</v>
      </c>
      <c r="B3" s="3" t="s">
        <v>12</v>
      </c>
      <c r="C3" s="4">
        <f t="shared" ref="C3:I3" si="1">C6*0.24</f>
        <v>3799200</v>
      </c>
      <c r="D3" s="4">
        <f t="shared" si="1"/>
        <v>2909280</v>
      </c>
      <c r="E3" s="4">
        <f t="shared" si="1"/>
        <v>4345440</v>
      </c>
      <c r="F3" s="4">
        <f t="shared" si="1"/>
        <v>595440</v>
      </c>
      <c r="G3" s="4">
        <f t="shared" si="1"/>
        <v>1440240</v>
      </c>
      <c r="H3" s="4">
        <f t="shared" si="1"/>
        <v>9290400</v>
      </c>
      <c r="I3" s="4">
        <f t="shared" si="1"/>
        <v>-5491200</v>
      </c>
      <c r="J3" s="4"/>
      <c r="K3" s="4"/>
    </row>
    <row r="4" spans="1:11" ht="14.25" customHeight="1" x14ac:dyDescent="0.5">
      <c r="A4" s="2" t="s">
        <v>14</v>
      </c>
      <c r="B4" s="3" t="s">
        <v>12</v>
      </c>
      <c r="C4" s="4">
        <f t="shared" ref="C4:I4" si="2">C6*0.25</f>
        <v>3957500</v>
      </c>
      <c r="D4" s="4">
        <f t="shared" si="2"/>
        <v>3030500</v>
      </c>
      <c r="E4" s="4">
        <f t="shared" si="2"/>
        <v>4526500</v>
      </c>
      <c r="F4" s="4">
        <f t="shared" si="2"/>
        <v>620250</v>
      </c>
      <c r="G4" s="4">
        <f t="shared" si="2"/>
        <v>1500250</v>
      </c>
      <c r="H4" s="4">
        <f t="shared" si="2"/>
        <v>9677500</v>
      </c>
      <c r="I4" s="4">
        <f t="shared" si="2"/>
        <v>-5720000</v>
      </c>
      <c r="J4" s="4"/>
      <c r="K4" s="4"/>
    </row>
    <row r="5" spans="1:11" ht="14.25" customHeight="1" x14ac:dyDescent="0.5">
      <c r="A5" s="2" t="s">
        <v>15</v>
      </c>
      <c r="B5" s="3" t="s">
        <v>12</v>
      </c>
      <c r="C5" s="4">
        <f t="shared" ref="C5:I5" si="3">C6*0.28</f>
        <v>4432400</v>
      </c>
      <c r="D5" s="4">
        <f t="shared" si="3"/>
        <v>3394160.0000000005</v>
      </c>
      <c r="E5" s="4">
        <f t="shared" si="3"/>
        <v>5069680.0000000009</v>
      </c>
      <c r="F5" s="4">
        <f t="shared" si="3"/>
        <v>694680.00000000012</v>
      </c>
      <c r="G5" s="4">
        <f t="shared" si="3"/>
        <v>1680280.0000000002</v>
      </c>
      <c r="H5" s="4">
        <f t="shared" si="3"/>
        <v>10838800.000000002</v>
      </c>
      <c r="I5" s="4">
        <f t="shared" si="3"/>
        <v>-6406400.0000000009</v>
      </c>
      <c r="J5" s="4"/>
      <c r="K5" s="4"/>
    </row>
    <row r="6" spans="1:11" ht="14.25" customHeight="1" x14ac:dyDescent="0.5">
      <c r="A6" s="2" t="s">
        <v>16</v>
      </c>
      <c r="B6" s="3" t="s">
        <v>17</v>
      </c>
      <c r="C6" s="4">
        <v>15830000</v>
      </c>
      <c r="D6" s="4">
        <v>12122000</v>
      </c>
      <c r="E6" s="4">
        <v>18106000</v>
      </c>
      <c r="F6" s="4">
        <v>2481000</v>
      </c>
      <c r="G6" s="4">
        <v>6001000</v>
      </c>
      <c r="H6" s="4">
        <v>38710000</v>
      </c>
      <c r="I6" s="4">
        <v>-22880000</v>
      </c>
      <c r="J6" s="4"/>
      <c r="K6" s="4"/>
    </row>
    <row r="7" spans="1:11" ht="14.25" customHeight="1" x14ac:dyDescent="0.5">
      <c r="A7" s="2" t="s">
        <v>18</v>
      </c>
      <c r="B7" s="3" t="s">
        <v>12</v>
      </c>
      <c r="C7" s="4">
        <f t="shared" ref="C7:K7" si="4">C11*0.23</f>
        <v>52656890</v>
      </c>
      <c r="D7" s="4">
        <f t="shared" si="4"/>
        <v>15819400</v>
      </c>
      <c r="E7" s="4">
        <f t="shared" si="4"/>
        <v>30326650</v>
      </c>
      <c r="F7" s="4">
        <f t="shared" si="4"/>
        <v>2970910</v>
      </c>
      <c r="G7" s="4">
        <f t="shared" si="4"/>
        <v>6863660</v>
      </c>
      <c r="H7" s="4">
        <f t="shared" si="4"/>
        <v>55980620</v>
      </c>
      <c r="I7" s="4">
        <f t="shared" si="4"/>
        <v>-3323730</v>
      </c>
      <c r="J7" s="4">
        <f t="shared" si="4"/>
        <v>1144704250</v>
      </c>
      <c r="K7" s="4">
        <f t="shared" si="4"/>
        <v>1175041480</v>
      </c>
    </row>
    <row r="8" spans="1:11" ht="14.25" customHeight="1" x14ac:dyDescent="0.5">
      <c r="A8" s="2" t="s">
        <v>19</v>
      </c>
      <c r="B8" s="3" t="s">
        <v>12</v>
      </c>
      <c r="C8" s="4">
        <f t="shared" ref="C8:K8" si="5">C11*0.24</f>
        <v>54946320</v>
      </c>
      <c r="D8" s="4">
        <f t="shared" si="5"/>
        <v>16507200</v>
      </c>
      <c r="E8" s="4">
        <f t="shared" si="5"/>
        <v>31645200</v>
      </c>
      <c r="F8" s="4">
        <f t="shared" si="5"/>
        <v>3100080</v>
      </c>
      <c r="G8" s="4">
        <f t="shared" si="5"/>
        <v>7162080</v>
      </c>
      <c r="H8" s="4">
        <f t="shared" si="5"/>
        <v>58414560</v>
      </c>
      <c r="I8" s="4">
        <f t="shared" si="5"/>
        <v>-3468240</v>
      </c>
      <c r="J8" s="4">
        <f t="shared" si="5"/>
        <v>1194474000</v>
      </c>
      <c r="K8" s="4">
        <f t="shared" si="5"/>
        <v>1226130240</v>
      </c>
    </row>
    <row r="9" spans="1:11" ht="14.25" customHeight="1" x14ac:dyDescent="0.5">
      <c r="A9" s="2" t="s">
        <v>20</v>
      </c>
      <c r="B9" s="3" t="s">
        <v>12</v>
      </c>
      <c r="C9" s="4">
        <f t="shared" ref="C9:K9" si="6">C11*0.25</f>
        <v>57235750</v>
      </c>
      <c r="D9" s="4">
        <f t="shared" si="6"/>
        <v>17195000</v>
      </c>
      <c r="E9" s="4">
        <f t="shared" si="6"/>
        <v>32963750</v>
      </c>
      <c r="F9" s="4">
        <f t="shared" si="6"/>
        <v>3229250</v>
      </c>
      <c r="G9" s="4">
        <f t="shared" si="6"/>
        <v>7460500</v>
      </c>
      <c r="H9" s="4">
        <f t="shared" si="6"/>
        <v>60848500</v>
      </c>
      <c r="I9" s="4">
        <f t="shared" si="6"/>
        <v>-3612750</v>
      </c>
      <c r="J9" s="4">
        <f t="shared" si="6"/>
        <v>1244243750</v>
      </c>
      <c r="K9" s="4">
        <f t="shared" si="6"/>
        <v>1277219000</v>
      </c>
    </row>
    <row r="10" spans="1:11" ht="14.25" customHeight="1" x14ac:dyDescent="0.5">
      <c r="A10" s="2" t="s">
        <v>21</v>
      </c>
      <c r="B10" s="3" t="s">
        <v>12</v>
      </c>
      <c r="C10" s="4">
        <f t="shared" ref="C10:K10" si="7">C11*0.28</f>
        <v>64104040.000000007</v>
      </c>
      <c r="D10" s="4">
        <f t="shared" si="7"/>
        <v>19258400</v>
      </c>
      <c r="E10" s="4">
        <f t="shared" si="7"/>
        <v>36919400</v>
      </c>
      <c r="F10" s="4">
        <f t="shared" si="7"/>
        <v>3616760.0000000005</v>
      </c>
      <c r="G10" s="4">
        <f t="shared" si="7"/>
        <v>8355760.0000000009</v>
      </c>
      <c r="H10" s="4">
        <f t="shared" si="7"/>
        <v>68150320</v>
      </c>
      <c r="I10" s="4">
        <f t="shared" si="7"/>
        <v>-4046280.0000000005</v>
      </c>
      <c r="J10" s="4">
        <f t="shared" si="7"/>
        <v>1393553000.0000002</v>
      </c>
      <c r="K10" s="4">
        <f t="shared" si="7"/>
        <v>1430485280.0000002</v>
      </c>
    </row>
    <row r="11" spans="1:11" ht="14.25" customHeight="1" x14ac:dyDescent="0.5">
      <c r="A11" s="2" t="s">
        <v>22</v>
      </c>
      <c r="B11" s="3" t="s">
        <v>17</v>
      </c>
      <c r="C11" s="4">
        <v>228943000</v>
      </c>
      <c r="D11" s="4">
        <v>68780000</v>
      </c>
      <c r="E11" s="4">
        <v>131855000</v>
      </c>
      <c r="F11" s="4">
        <v>12917000</v>
      </c>
      <c r="G11" s="4">
        <v>29842000</v>
      </c>
      <c r="H11" s="4">
        <v>243394000</v>
      </c>
      <c r="I11" s="4">
        <v>-14451000</v>
      </c>
      <c r="J11" s="4">
        <v>4976975000</v>
      </c>
      <c r="K11" s="4">
        <v>5108876000</v>
      </c>
    </row>
    <row r="12" spans="1:11" ht="14.25" customHeight="1" x14ac:dyDescent="0.5">
      <c r="A12" s="2" t="s">
        <v>23</v>
      </c>
      <c r="B12" s="3" t="s">
        <v>12</v>
      </c>
      <c r="C12" s="4">
        <f t="shared" ref="C12:K12" si="8">C16*0.23</f>
        <v>440547980</v>
      </c>
      <c r="D12" s="4">
        <f t="shared" si="8"/>
        <v>113470500</v>
      </c>
      <c r="E12" s="4">
        <f t="shared" si="8"/>
        <v>220957550</v>
      </c>
      <c r="F12" s="4">
        <f t="shared" si="8"/>
        <v>4229470</v>
      </c>
      <c r="G12" s="4">
        <f t="shared" si="8"/>
        <v>27288120</v>
      </c>
      <c r="H12" s="4">
        <f t="shared" si="8"/>
        <v>365945640</v>
      </c>
      <c r="I12" s="4">
        <f t="shared" si="8"/>
        <v>74602340</v>
      </c>
      <c r="J12" s="4">
        <f t="shared" si="8"/>
        <v>4101497770</v>
      </c>
      <c r="K12" s="4">
        <f t="shared" si="8"/>
        <v>3800539780</v>
      </c>
    </row>
    <row r="13" spans="1:11" ht="14.25" customHeight="1" x14ac:dyDescent="0.5">
      <c r="A13" s="2" t="s">
        <v>24</v>
      </c>
      <c r="B13" s="3" t="s">
        <v>12</v>
      </c>
      <c r="C13" s="4">
        <f t="shared" ref="C13:K13" si="9">C16*0.24</f>
        <v>459702240</v>
      </c>
      <c r="D13" s="4">
        <f t="shared" si="9"/>
        <v>118404000</v>
      </c>
      <c r="E13" s="4">
        <f t="shared" si="9"/>
        <v>230564400</v>
      </c>
      <c r="F13" s="4">
        <f t="shared" si="9"/>
        <v>4413360</v>
      </c>
      <c r="G13" s="4">
        <f t="shared" si="9"/>
        <v>28474560</v>
      </c>
      <c r="H13" s="4">
        <f t="shared" si="9"/>
        <v>381856320</v>
      </c>
      <c r="I13" s="4">
        <f t="shared" si="9"/>
        <v>77845920</v>
      </c>
      <c r="J13" s="4">
        <f t="shared" si="9"/>
        <v>4279823760</v>
      </c>
      <c r="K13" s="4">
        <f t="shared" si="9"/>
        <v>3965780640</v>
      </c>
    </row>
    <row r="14" spans="1:11" ht="14.25" customHeight="1" x14ac:dyDescent="0.5">
      <c r="A14" s="2" t="s">
        <v>25</v>
      </c>
      <c r="B14" s="3" t="s">
        <v>12</v>
      </c>
      <c r="C14" s="4">
        <f t="shared" ref="C14:K14" si="10">C16*0.25</f>
        <v>478856500</v>
      </c>
      <c r="D14" s="4">
        <f t="shared" si="10"/>
        <v>123337500</v>
      </c>
      <c r="E14" s="4">
        <f t="shared" si="10"/>
        <v>240171250</v>
      </c>
      <c r="F14" s="4">
        <f t="shared" si="10"/>
        <v>4597250</v>
      </c>
      <c r="G14" s="4">
        <f t="shared" si="10"/>
        <v>29661000</v>
      </c>
      <c r="H14" s="4">
        <f t="shared" si="10"/>
        <v>397767000</v>
      </c>
      <c r="I14" s="4">
        <f t="shared" si="10"/>
        <v>81089500</v>
      </c>
      <c r="J14" s="4">
        <f t="shared" si="10"/>
        <v>4458149750</v>
      </c>
      <c r="K14" s="4">
        <f t="shared" si="10"/>
        <v>4131021500</v>
      </c>
    </row>
    <row r="15" spans="1:11" ht="14.25" customHeight="1" x14ac:dyDescent="0.5">
      <c r="A15" s="2" t="s">
        <v>26</v>
      </c>
      <c r="B15" s="3" t="s">
        <v>12</v>
      </c>
      <c r="C15" s="4">
        <f t="shared" ref="C15:K15" si="11">C16*0.28</f>
        <v>536319280.00000006</v>
      </c>
      <c r="D15" s="4">
        <f t="shared" si="11"/>
        <v>138138000</v>
      </c>
      <c r="E15" s="4">
        <f t="shared" si="11"/>
        <v>268991800</v>
      </c>
      <c r="F15" s="4">
        <f t="shared" si="11"/>
        <v>5148920.0000000009</v>
      </c>
      <c r="G15" s="4">
        <f t="shared" si="11"/>
        <v>33220320.000000004</v>
      </c>
      <c r="H15" s="4">
        <f t="shared" si="11"/>
        <v>445499040.00000006</v>
      </c>
      <c r="I15" s="4">
        <f t="shared" si="11"/>
        <v>90820240.000000015</v>
      </c>
      <c r="J15" s="4">
        <f t="shared" si="11"/>
        <v>4993127720</v>
      </c>
      <c r="K15" s="4">
        <f t="shared" si="11"/>
        <v>4626744080</v>
      </c>
    </row>
    <row r="16" spans="1:11" ht="14.25" customHeight="1" x14ac:dyDescent="0.5">
      <c r="A16" s="2" t="s">
        <v>27</v>
      </c>
      <c r="B16" s="3" t="s">
        <v>17</v>
      </c>
      <c r="C16" s="4">
        <v>1915426000</v>
      </c>
      <c r="D16" s="4">
        <v>493350000</v>
      </c>
      <c r="E16" s="4">
        <v>960685000</v>
      </c>
      <c r="F16" s="4">
        <v>18389000</v>
      </c>
      <c r="G16" s="4">
        <v>118644000</v>
      </c>
      <c r="H16" s="4">
        <v>1591068000</v>
      </c>
      <c r="I16" s="4">
        <v>324358000</v>
      </c>
      <c r="J16" s="4">
        <v>17832599000</v>
      </c>
      <c r="K16" s="4">
        <v>16524086000</v>
      </c>
    </row>
    <row r="17" spans="1:11" ht="14.25" customHeight="1" x14ac:dyDescent="0.5">
      <c r="A17" s="2" t="s">
        <v>28</v>
      </c>
      <c r="B17" s="3" t="s">
        <v>29</v>
      </c>
      <c r="C17" s="4">
        <v>981632000</v>
      </c>
      <c r="D17" s="4">
        <v>262394000</v>
      </c>
      <c r="E17" s="4">
        <v>561402000</v>
      </c>
      <c r="F17" s="4">
        <v>10549000</v>
      </c>
      <c r="G17" s="4">
        <v>174757000</v>
      </c>
      <c r="H17" s="4">
        <v>1009102000</v>
      </c>
      <c r="I17" s="4">
        <v>-27470000</v>
      </c>
      <c r="J17" s="4">
        <v>21860383000</v>
      </c>
      <c r="K17" s="4">
        <v>18791101000</v>
      </c>
    </row>
    <row r="18" spans="1:11" ht="14.25" customHeight="1" x14ac:dyDescent="0.5">
      <c r="A18" s="2" t="s">
        <v>30</v>
      </c>
      <c r="B18" s="3" t="s">
        <v>29</v>
      </c>
      <c r="C18" s="4">
        <v>1212788000</v>
      </c>
      <c r="D18" s="4">
        <v>312667000</v>
      </c>
      <c r="E18" s="4">
        <v>669913000</v>
      </c>
      <c r="F18" s="4">
        <v>36799000</v>
      </c>
      <c r="G18" s="4">
        <v>174200000</v>
      </c>
      <c r="H18" s="4">
        <v>1193579000</v>
      </c>
      <c r="I18" s="4">
        <v>19209000</v>
      </c>
      <c r="J18" s="4">
        <v>26241363000</v>
      </c>
      <c r="K18" s="4">
        <v>22420557000</v>
      </c>
    </row>
    <row r="19" spans="1:11" ht="14.25" customHeight="1" x14ac:dyDescent="0.5">
      <c r="A19" s="2" t="s">
        <v>31</v>
      </c>
      <c r="B19" s="3" t="s">
        <v>29</v>
      </c>
      <c r="C19" s="4">
        <v>1364676000</v>
      </c>
      <c r="D19" s="4">
        <v>368824000</v>
      </c>
      <c r="E19" s="4">
        <v>747479000</v>
      </c>
      <c r="F19" s="4">
        <v>44645000</v>
      </c>
      <c r="G19" s="4">
        <v>151878000</v>
      </c>
      <c r="H19" s="4">
        <v>1312826000</v>
      </c>
      <c r="I19" s="4">
        <v>51850000</v>
      </c>
      <c r="J19" s="4">
        <v>32910498000</v>
      </c>
      <c r="K19" s="4">
        <v>29032484000</v>
      </c>
    </row>
    <row r="20" spans="1:11" ht="14.25" customHeight="1" x14ac:dyDescent="0.5">
      <c r="A20" s="2" t="s">
        <v>32</v>
      </c>
      <c r="B20" s="3" t="s">
        <v>12</v>
      </c>
      <c r="C20" s="5">
        <f>C19*(1+((C19/C18-1)*0.65))</f>
        <v>1475767666.7935369</v>
      </c>
      <c r="D20" s="4">
        <f>C20*(AVERAGE(D17/C17, D18/C18, D19/C19))</f>
        <v>391263972.50711632</v>
      </c>
      <c r="E20" s="4">
        <f>C20*AVERAGE(E17/C17, E18/C18, E19/C19)</f>
        <v>822501804.32455146</v>
      </c>
      <c r="F20" s="4">
        <f>C20*AVERAGE(F17/C17, F18/C18, F19/C18)</f>
        <v>38321135.075151943</v>
      </c>
      <c r="G20" s="4">
        <f>C20*AVERAGE(G17/C17, G18/C18, G19/C19)</f>
        <v>212980495.58628291</v>
      </c>
      <c r="H20" s="4">
        <f>SUM(D20:G20)</f>
        <v>1465067407.4931028</v>
      </c>
      <c r="I20" s="4">
        <f>C20-H20</f>
        <v>10700259.300434113</v>
      </c>
      <c r="J20" s="4">
        <f t="shared" ref="J20:K20" si="12">J19*(1+((J19/J18)-1)*0.5)</f>
        <v>37092532181.670174</v>
      </c>
      <c r="K20" s="4">
        <f t="shared" si="12"/>
        <v>33313391580.41087</v>
      </c>
    </row>
    <row r="21" spans="1:11" ht="14.25" customHeight="1" x14ac:dyDescent="0.5">
      <c r="A21" s="2" t="s">
        <v>33</v>
      </c>
      <c r="B21" s="3" t="s">
        <v>34</v>
      </c>
      <c r="C21" s="4">
        <f t="shared" ref="C21:G21" si="13">SUM(C17:C20)</f>
        <v>5034863666.7935371</v>
      </c>
      <c r="D21" s="4">
        <f t="shared" si="13"/>
        <v>1335148972.5071163</v>
      </c>
      <c r="E21" s="4">
        <f t="shared" si="13"/>
        <v>2801295804.3245516</v>
      </c>
      <c r="F21" s="4">
        <f t="shared" si="13"/>
        <v>130314135.07515195</v>
      </c>
      <c r="G21" s="4">
        <f t="shared" si="13"/>
        <v>713815495.58628297</v>
      </c>
      <c r="H21" s="4">
        <f>SUM(H17:H20)</f>
        <v>4980574407.493103</v>
      </c>
      <c r="I21" s="4">
        <f t="shared" ref="I21:K21" si="14">SUM(I17:I20)</f>
        <v>54289259.300434113</v>
      </c>
      <c r="J21" s="4">
        <f t="shared" si="14"/>
        <v>118104776181.67017</v>
      </c>
      <c r="K21" s="4">
        <f t="shared" si="14"/>
        <v>103557533580.41087</v>
      </c>
    </row>
    <row r="22" spans="1:11" ht="14.25" customHeight="1" x14ac:dyDescent="0.45"/>
    <row r="23" spans="1:11" ht="14.25" customHeight="1" x14ac:dyDescent="0.45">
      <c r="C23" s="6"/>
      <c r="D23" s="6"/>
      <c r="E23" s="6"/>
      <c r="F23" s="6"/>
      <c r="G23" s="6"/>
      <c r="H23" s="6"/>
      <c r="I23" s="6"/>
      <c r="J23" s="6"/>
      <c r="K23" s="6"/>
    </row>
    <row r="24" spans="1:11" ht="14.25" customHeight="1" x14ac:dyDescent="0.45">
      <c r="C24" s="6"/>
      <c r="D24" s="6"/>
      <c r="E24" s="6"/>
      <c r="F24" s="6"/>
      <c r="G24" s="6"/>
      <c r="H24" s="6"/>
      <c r="I24" s="6"/>
      <c r="J24" s="6"/>
      <c r="K24" s="6"/>
    </row>
    <row r="25" spans="1:11" ht="14.25" customHeight="1" x14ac:dyDescent="0.45">
      <c r="B25" s="7"/>
      <c r="C25" s="6"/>
      <c r="D25" s="5"/>
      <c r="E25" s="5"/>
      <c r="F25" s="6"/>
      <c r="G25" s="6"/>
      <c r="H25" s="6"/>
      <c r="I25" s="6"/>
      <c r="J25" s="6"/>
      <c r="K25" s="6"/>
    </row>
    <row r="26" spans="1:11" ht="14.25" customHeight="1" x14ac:dyDescent="0.45">
      <c r="B26" s="6"/>
      <c r="C26" s="6"/>
      <c r="D26" s="6"/>
      <c r="F26" s="6"/>
      <c r="G26" s="6"/>
      <c r="H26" s="6"/>
      <c r="I26" s="6"/>
      <c r="J26" s="6"/>
      <c r="K26" s="6"/>
    </row>
    <row r="27" spans="1:11" ht="14.25" customHeight="1" x14ac:dyDescent="0.45">
      <c r="B27" s="5"/>
      <c r="C27" s="8"/>
      <c r="D27" s="5"/>
      <c r="F27" s="5"/>
      <c r="H27" s="5"/>
      <c r="I27" s="5"/>
    </row>
    <row r="28" spans="1:11" ht="14.25" customHeight="1" x14ac:dyDescent="0.45">
      <c r="B28" s="5"/>
      <c r="C28" s="8"/>
      <c r="D28" s="5"/>
      <c r="F28" s="5"/>
      <c r="G28" s="5"/>
      <c r="H28" s="5"/>
      <c r="I28" s="5"/>
      <c r="J28" s="5"/>
      <c r="K28" s="5"/>
    </row>
    <row r="29" spans="1:11" ht="14.25" customHeight="1" x14ac:dyDescent="0.45">
      <c r="B29" s="9"/>
      <c r="C29" s="8"/>
    </row>
    <row r="30" spans="1:11" ht="14.25" customHeight="1" x14ac:dyDescent="0.45">
      <c r="B30" s="5"/>
      <c r="C30" s="5"/>
      <c r="D30" s="5"/>
      <c r="F30" s="5"/>
      <c r="G30" s="5"/>
      <c r="H30" s="5"/>
      <c r="I30" s="5"/>
    </row>
    <row r="31" spans="1:11" ht="14.25" customHeight="1" x14ac:dyDescent="0.45">
      <c r="B31" s="5"/>
      <c r="C31" s="5"/>
    </row>
    <row r="32" spans="1:11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Aguilar Torres</dc:creator>
  <cp:lastModifiedBy>Uriel Aguilar Torres</cp:lastModifiedBy>
  <dcterms:created xsi:type="dcterms:W3CDTF">2015-06-05T18:17:20Z</dcterms:created>
  <dcterms:modified xsi:type="dcterms:W3CDTF">2026-03-05T18:28:36Z</dcterms:modified>
</cp:coreProperties>
</file>